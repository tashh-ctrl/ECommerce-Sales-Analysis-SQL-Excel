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vee\Downloads\"/>
    </mc:Choice>
  </mc:AlternateContent>
  <xr:revisionPtr revIDLastSave="0" documentId="8_{C303FD50-685F-4891-A433-2158C59E48E4}" xr6:coauthVersionLast="47" xr6:coauthVersionMax="47" xr10:uidLastSave="{00000000-0000-0000-0000-000000000000}"/>
  <bookViews>
    <workbookView xWindow="-108" yWindow="-108" windowWidth="23256" windowHeight="12456" xr2:uid="{F42C7E9D-4BA0-43D6-98A6-601B66465BA8}"/>
  </bookViews>
  <sheets>
    <sheet name="Sheet7" sheetId="7" r:id="rId1"/>
    <sheet name="Sheet1" sheetId="1" r:id="rId2"/>
  </sheets>
  <calcPr calcId="191029"/>
  <pivotCaches>
    <pivotCache cacheId="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0" i="1" l="1"/>
  <c r="P20" i="1"/>
</calcChain>
</file>

<file path=xl/sharedStrings.xml><?xml version="1.0" encoding="utf-8"?>
<sst xmlns="http://schemas.openxmlformats.org/spreadsheetml/2006/main" count="141" uniqueCount="36">
  <si>
    <t>Bottle</t>
  </si>
  <si>
    <t>Accessories</t>
  </si>
  <si>
    <t>Kevin Brown</t>
  </si>
  <si>
    <t>USA</t>
  </si>
  <si>
    <t>Shipped</t>
  </si>
  <si>
    <t>Orders2025</t>
  </si>
  <si>
    <t>Mark Schwarz</t>
  </si>
  <si>
    <t>Germany</t>
  </si>
  <si>
    <t>Tire</t>
  </si>
  <si>
    <t>Jossef Goldberg</t>
  </si>
  <si>
    <t>Delivered</t>
  </si>
  <si>
    <t>Caps</t>
  </si>
  <si>
    <t>Clothing</t>
  </si>
  <si>
    <t xml:space="preserve">Mary </t>
  </si>
  <si>
    <t>Gloves</t>
  </si>
  <si>
    <t>OrdersArchive2024</t>
  </si>
  <si>
    <t>Product</t>
  </si>
  <si>
    <t xml:space="preserve">Category </t>
  </si>
  <si>
    <t xml:space="preserve">Customer ID </t>
  </si>
  <si>
    <t xml:space="preserve">Country </t>
  </si>
  <si>
    <t xml:space="preserve">Quantity </t>
  </si>
  <si>
    <t xml:space="preserve">Revenue </t>
  </si>
  <si>
    <t>Row Labels</t>
  </si>
  <si>
    <t>Grand Total</t>
  </si>
  <si>
    <t xml:space="preserve">Sum of Revenue </t>
  </si>
  <si>
    <t xml:space="preserve">Order ID </t>
  </si>
  <si>
    <t xml:space="preserve">Source Data </t>
  </si>
  <si>
    <t xml:space="preserve">Product Id </t>
  </si>
  <si>
    <t xml:space="preserve">Price </t>
  </si>
  <si>
    <t xml:space="preserve">Customer Name </t>
  </si>
  <si>
    <t>Sales Person ID</t>
  </si>
  <si>
    <t xml:space="preserve">Order Date </t>
  </si>
  <si>
    <t xml:space="preserve">Ship Date </t>
  </si>
  <si>
    <t xml:space="preserve">Delivery Days </t>
  </si>
  <si>
    <t xml:space="preserve">Order Status </t>
  </si>
  <si>
    <t xml:space="preserve">Sum of Quantity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</si>
</sst>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6"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[Ecommere_Sales_Analysis.xlsx]Sheet7!PivotTable4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Customer Contribution by Country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Sheet7!$B$6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Sheet7!$A$7:$A$15</c:f>
              <c:multiLvlStrCache>
                <c:ptCount val="4"/>
                <c:lvl>
                  <c:pt idx="0">
                    <c:v>Germany</c:v>
                  </c:pt>
                  <c:pt idx="1">
                    <c:v>USA</c:v>
                  </c:pt>
                  <c:pt idx="2">
                    <c:v>Germany</c:v>
                  </c:pt>
                  <c:pt idx="3">
                    <c:v>USA</c:v>
                  </c:pt>
                </c:lvl>
                <c:lvl>
                  <c:pt idx="0">
                    <c:v>Jossef Goldberg</c:v>
                  </c:pt>
                  <c:pt idx="1">
                    <c:v>Kevin Brown</c:v>
                  </c:pt>
                  <c:pt idx="2">
                    <c:v>Mark Schwarz</c:v>
                  </c:pt>
                  <c:pt idx="3">
                    <c:v>Mary </c:v>
                  </c:pt>
                </c:lvl>
              </c:multiLvlStrCache>
            </c:multiLvlStrRef>
          </c:cat>
          <c:val>
            <c:numRef>
              <c:f>Sheet7!$B$7:$B$15</c:f>
              <c:numCache>
                <c:formatCode>"₹"\ #,##0.00</c:formatCode>
                <c:ptCount val="4"/>
                <c:pt idx="0">
                  <c:v>250</c:v>
                </c:pt>
                <c:pt idx="1">
                  <c:v>90</c:v>
                </c:pt>
                <c:pt idx="2">
                  <c:v>90</c:v>
                </c:pt>
                <c:pt idx="3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A2-42F5-A007-77A2ACA3A7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91386447"/>
        <c:axId val="1690920559"/>
      </c:barChart>
      <c:catAx>
        <c:axId val="16913864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0920559"/>
        <c:crosses val="autoZero"/>
        <c:auto val="1"/>
        <c:lblAlgn val="ctr"/>
        <c:lblOffset val="100"/>
        <c:noMultiLvlLbl val="0"/>
      </c:catAx>
      <c:valAx>
        <c:axId val="1690920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1386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[Ecommere_Sales_Analysis.xlsx]Sheet7!PivotTable3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Sheet7!$B$1</c:f>
              <c:strCache>
                <c:ptCount val="1"/>
                <c:pt idx="0">
                  <c:v>Sum of Revenue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Sheet7!$A$2:$A$4</c:f>
              <c:strCache>
                <c:ptCount val="2"/>
                <c:pt idx="0">
                  <c:v>Accessories</c:v>
                </c:pt>
                <c:pt idx="1">
                  <c:v>Clothing</c:v>
                </c:pt>
              </c:strCache>
            </c:strRef>
          </c:cat>
          <c:val>
            <c:numRef>
              <c:f>Sheet7!$B$2:$B$4</c:f>
              <c:numCache>
                <c:formatCode>"₹"\ #,##0.00</c:formatCode>
                <c:ptCount val="2"/>
                <c:pt idx="0">
                  <c:v>280</c:v>
                </c:pt>
                <c:pt idx="1">
                  <c:v>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9B-42F5-A735-9DE158EB7A74}"/>
            </c:ext>
          </c:extLst>
        </c:ser>
        <c:ser>
          <c:idx val="1"/>
          <c:order val="1"/>
          <c:tx>
            <c:strRef>
              <c:f>Sheet7!$C$1</c:f>
              <c:strCache>
                <c:ptCount val="1"/>
                <c:pt idx="0">
                  <c:v>Sum of Quantity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Sheet7!$A$2:$A$4</c:f>
              <c:strCache>
                <c:ptCount val="2"/>
                <c:pt idx="0">
                  <c:v>Accessories</c:v>
                </c:pt>
                <c:pt idx="1">
                  <c:v>Clothing</c:v>
                </c:pt>
              </c:strCache>
            </c:strRef>
          </c:cat>
          <c:val>
            <c:numRef>
              <c:f>Sheet7!$C$2:$C$4</c:f>
              <c:numCache>
                <c:formatCode>General</c:formatCode>
                <c:ptCount val="2"/>
                <c:pt idx="0">
                  <c:v>16</c:v>
                </c:pt>
                <c:pt idx="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9B-42F5-A735-9DE158EB7A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17689151"/>
        <c:axId val="1690933039"/>
      </c:barChart>
      <c:catAx>
        <c:axId val="1817689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0933039"/>
        <c:crosses val="autoZero"/>
        <c:auto val="1"/>
        <c:lblAlgn val="ctr"/>
        <c:lblOffset val="100"/>
        <c:noMultiLvlLbl val="0"/>
      </c:catAx>
      <c:valAx>
        <c:axId val="1690933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689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607294</xdr:colOff>
      <xdr:row>15</xdr:row>
      <xdr:rowOff>40206</xdr:rowOff>
    </xdr:from>
    <xdr:to>
      <xdr:col>10</xdr:col>
      <xdr:colOff>1022684</xdr:colOff>
      <xdr:row>30</xdr:row>
      <xdr:rowOff>40205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C6BE86-1212-EF9B-C6DB-2ACFC554ED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10027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81E491-14BB-BC9D-BBA5-6A8371B219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VEEN S" refreshedDate="46294.387183680556" createdVersion="8" refreshedVersion="8" minRefreshableVersion="3" recordCount="18" xr:uid="{8ECC5C35-C880-461D-B3B6-153E4E97D246}">
  <cacheSource type="worksheet">
    <worksheetSource name="Table1"/>
  </cacheSource>
  <cacheFields count="16">
    <cacheField name="Order ID " numFmtId="0">
      <sharedItems containsSemiMixedTypes="0" containsString="0" containsNumber="1" containsInteger="1" minValue="1" maxValue="9"/>
    </cacheField>
    <cacheField name="Source Data " numFmtId="0">
      <sharedItems/>
    </cacheField>
    <cacheField name="Product Id " numFmtId="0">
      <sharedItems containsSemiMixedTypes="0" containsString="0" containsNumber="1" containsInteger="1" minValue="101" maxValue="105"/>
    </cacheField>
    <cacheField name="Product" numFmtId="0">
      <sharedItems/>
    </cacheField>
    <cacheField name="Category " numFmtId="0">
      <sharedItems count="2">
        <s v="Accessories"/>
        <s v="Clothing"/>
      </sharedItems>
    </cacheField>
    <cacheField name="Price " numFmtId="0">
      <sharedItems containsSemiMixedTypes="0" containsString="0" containsNumber="1" containsInteger="1" minValue="10" maxValue="30"/>
    </cacheField>
    <cacheField name="Customer ID " numFmtId="0">
      <sharedItems containsSemiMixedTypes="0" containsString="0" containsNumber="1" containsInteger="1" minValue="1" maxValue="4"/>
    </cacheField>
    <cacheField name="Customer Name " numFmtId="0">
      <sharedItems count="4">
        <s v="Kevin Brown"/>
        <s v="Mary "/>
        <s v="Jossef Goldberg"/>
        <s v="Mark Schwarz"/>
      </sharedItems>
    </cacheField>
    <cacheField name="Country " numFmtId="0">
      <sharedItems count="2">
        <s v="USA"/>
        <s v="Germany"/>
      </sharedItems>
    </cacheField>
    <cacheField name="Sales Person ID" numFmtId="14">
      <sharedItems containsSemiMixedTypes="0" containsNonDate="0" containsDate="1" containsString="0" minDate="1899-12-31T00:00:00" maxDate="1900-01-05T00:00:00"/>
    </cacheField>
    <cacheField name="Order Date " numFmtId="14">
      <sharedItems containsSemiMixedTypes="0" containsNonDate="0" containsDate="1" containsString="0" minDate="2024-04-01T00:00:00" maxDate="2025-03-11T00:00:00"/>
    </cacheField>
    <cacheField name="Ship Date " numFmtId="14">
      <sharedItems containsSemiMixedTypes="0" containsNonDate="0" containsDate="1" containsString="0" minDate="2024-04-05T00:00:00" maxDate="2025-03-16T00:00:00"/>
    </cacheField>
    <cacheField name="Delivery Days " numFmtId="0">
      <sharedItems containsSemiMixedTypes="0" containsString="0" containsNumber="1" containsInteger="1" minValue="4" maxValue="15"/>
    </cacheField>
    <cacheField name="Order Status " numFmtId="0">
      <sharedItems/>
    </cacheField>
    <cacheField name="Quantity " numFmtId="0">
      <sharedItems containsString="0" containsBlank="1" containsNumber="1" containsInteger="1" minValue="1" maxValue="3"/>
    </cacheField>
    <cacheField name="Revenue " numFmtId="0">
      <sharedItems containsSemiMixedTypes="0" containsString="0" containsNumber="1" containsInteger="1" minValue="10" maxValue="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n v="1"/>
    <s v="OrdersArchive2024"/>
    <n v="101"/>
    <s v="Bottle"/>
    <x v="0"/>
    <n v="10"/>
    <n v="2"/>
    <x v="0"/>
    <x v="0"/>
    <d v="1900-01-02T00:00:00"/>
    <d v="2024-04-01T00:00:00"/>
    <d v="2024-04-05T00:00:00"/>
    <n v="4"/>
    <s v="Shipped"/>
    <n v="1"/>
    <n v="10"/>
  </r>
  <r>
    <n v="2"/>
    <s v="OrdersArchive2024"/>
    <n v="102"/>
    <s v="Tire"/>
    <x v="0"/>
    <n v="15"/>
    <n v="3"/>
    <x v="1"/>
    <x v="0"/>
    <d v="1900-01-02T00:00:00"/>
    <d v="2024-04-05T00:00:00"/>
    <d v="2024-04-10T00:00:00"/>
    <n v="5"/>
    <s v="Shipped"/>
    <n v="1"/>
    <n v="15"/>
  </r>
  <r>
    <n v="3"/>
    <s v="OrdersArchive2024"/>
    <n v="101"/>
    <s v="Bottle"/>
    <x v="0"/>
    <n v="10"/>
    <n v="1"/>
    <x v="2"/>
    <x v="1"/>
    <d v="1900-01-03T00:00:00"/>
    <d v="2024-04-10T00:00:00"/>
    <d v="2024-04-25T00:00:00"/>
    <n v="15"/>
    <s v="Shipped"/>
    <n v="2"/>
    <n v="20"/>
  </r>
  <r>
    <n v="4"/>
    <s v="OrdersArchive2024"/>
    <n v="105"/>
    <s v="Gloves"/>
    <x v="1"/>
    <n v="30"/>
    <n v="1"/>
    <x v="2"/>
    <x v="1"/>
    <d v="1900-01-02T00:00:00"/>
    <d v="2024-04-20T00:00:00"/>
    <d v="2024-04-25T00:00:00"/>
    <n v="5"/>
    <s v="Shipped"/>
    <n v="2"/>
    <n v="60"/>
  </r>
  <r>
    <n v="4"/>
    <s v="OrdersArchive2024"/>
    <n v="105"/>
    <s v="Gloves"/>
    <x v="1"/>
    <n v="30"/>
    <n v="1"/>
    <x v="2"/>
    <x v="1"/>
    <d v="1900-01-02T00:00:00"/>
    <d v="2024-04-20T00:00:00"/>
    <d v="2024-04-25T00:00:00"/>
    <n v="5"/>
    <s v="Delivered"/>
    <n v="2"/>
    <n v="60"/>
  </r>
  <r>
    <n v="5"/>
    <s v="OrdersArchive2024"/>
    <n v="104"/>
    <s v="Caps"/>
    <x v="1"/>
    <n v="25"/>
    <n v="2"/>
    <x v="0"/>
    <x v="0"/>
    <d v="1900-01-04T00:00:00"/>
    <d v="2024-05-01T00:00:00"/>
    <d v="2024-05-05T00:00:00"/>
    <n v="4"/>
    <s v="Shipped"/>
    <n v="1"/>
    <n v="25"/>
  </r>
  <r>
    <n v="6"/>
    <s v="OrdersArchive2024"/>
    <n v="104"/>
    <s v="Caps"/>
    <x v="1"/>
    <n v="25"/>
    <n v="3"/>
    <x v="1"/>
    <x v="0"/>
    <d v="1900-01-04T00:00:00"/>
    <d v="2024-05-05T00:00:00"/>
    <d v="2024-05-10T00:00:00"/>
    <n v="5"/>
    <s v="Delivered"/>
    <n v="2"/>
    <n v="50"/>
  </r>
  <r>
    <n v="6"/>
    <s v="OrdersArchive2024"/>
    <n v="104"/>
    <s v="Caps"/>
    <x v="1"/>
    <n v="25"/>
    <n v="3"/>
    <x v="1"/>
    <x v="0"/>
    <d v="1900-01-04T00:00:00"/>
    <d v="2024-05-05T00:00:00"/>
    <d v="2024-05-10T00:00:00"/>
    <n v="5"/>
    <s v="Delivered"/>
    <n v="2"/>
    <n v="50"/>
  </r>
  <r>
    <n v="6"/>
    <s v="OrdersArchive2024"/>
    <n v="101"/>
    <s v="Bottle"/>
    <x v="0"/>
    <n v="10"/>
    <n v="3"/>
    <x v="1"/>
    <x v="0"/>
    <d v="1900-01-04T00:00:00"/>
    <d v="2024-05-05T00:00:00"/>
    <d v="2024-05-10T00:00:00"/>
    <n v="5"/>
    <s v="Delivered"/>
    <n v="2"/>
    <n v="50"/>
  </r>
  <r>
    <n v="1"/>
    <s v="Orders2025"/>
    <n v="101"/>
    <s v="Bottle"/>
    <x v="0"/>
    <n v="10"/>
    <n v="2"/>
    <x v="0"/>
    <x v="0"/>
    <d v="1900-01-02T00:00:00"/>
    <d v="2025-01-01T00:00:00"/>
    <d v="2025-01-05T00:00:00"/>
    <n v="4"/>
    <s v="Delivered"/>
    <n v="1"/>
    <n v="10"/>
  </r>
  <r>
    <n v="2"/>
    <s v="Orders2025"/>
    <n v="102"/>
    <s v="Tire"/>
    <x v="0"/>
    <n v="15"/>
    <n v="3"/>
    <x v="1"/>
    <x v="0"/>
    <d v="1900-01-02T00:00:00"/>
    <d v="2025-01-05T00:00:00"/>
    <d v="2025-01-10T00:00:00"/>
    <n v="5"/>
    <s v="Shipped"/>
    <m/>
    <n v="15"/>
  </r>
  <r>
    <n v="3"/>
    <s v="Orders2025"/>
    <n v="101"/>
    <s v="Bottle"/>
    <x v="0"/>
    <n v="10"/>
    <n v="1"/>
    <x v="2"/>
    <x v="1"/>
    <d v="1900-01-04T00:00:00"/>
    <d v="2025-01-10T00:00:00"/>
    <d v="2025-01-25T00:00:00"/>
    <n v="15"/>
    <s v="Delivered"/>
    <n v="2"/>
    <n v="20"/>
  </r>
  <r>
    <n v="4"/>
    <s v="Orders2025"/>
    <n v="105"/>
    <s v="Gloves"/>
    <x v="1"/>
    <n v="30"/>
    <n v="1"/>
    <x v="2"/>
    <x v="1"/>
    <d v="1900-01-02T00:00:00"/>
    <d v="2025-01-20T00:00:00"/>
    <d v="2025-01-25T00:00:00"/>
    <n v="5"/>
    <s v="Shipped"/>
    <n v="2"/>
    <n v="60"/>
  </r>
  <r>
    <n v="5"/>
    <s v="Orders2025"/>
    <n v="104"/>
    <s v="Caps"/>
    <x v="1"/>
    <n v="25"/>
    <n v="2"/>
    <x v="0"/>
    <x v="0"/>
    <d v="1900-01-04T00:00:00"/>
    <d v="2025-02-01T00:00:00"/>
    <d v="2025-02-05T00:00:00"/>
    <n v="4"/>
    <s v="Delivered"/>
    <n v="1"/>
    <n v="25"/>
  </r>
  <r>
    <n v="6"/>
    <s v="Orders2025"/>
    <n v="104"/>
    <s v="Caps"/>
    <x v="1"/>
    <n v="25"/>
    <n v="3"/>
    <x v="1"/>
    <x v="0"/>
    <d v="1900-01-04T00:00:00"/>
    <d v="2025-02-05T00:00:00"/>
    <d v="2025-02-10T00:00:00"/>
    <n v="5"/>
    <s v="Delivered"/>
    <n v="2"/>
    <n v="50"/>
  </r>
  <r>
    <n v="7"/>
    <s v="Orders2025"/>
    <n v="102"/>
    <s v="Tire"/>
    <x v="0"/>
    <n v="15"/>
    <n v="1"/>
    <x v="2"/>
    <x v="1"/>
    <d v="1899-12-31T00:00:00"/>
    <d v="2025-02-15T00:00:00"/>
    <d v="2025-02-27T00:00:00"/>
    <n v="12"/>
    <s v="Delivered"/>
    <n v="2"/>
    <n v="30"/>
  </r>
  <r>
    <n v="8"/>
    <s v="Orders2025"/>
    <n v="101"/>
    <s v="Bottle"/>
    <x v="0"/>
    <n v="10"/>
    <n v="4"/>
    <x v="3"/>
    <x v="1"/>
    <d v="1900-01-02T00:00:00"/>
    <d v="2025-02-18T00:00:00"/>
    <d v="2025-02-27T00:00:00"/>
    <n v="9"/>
    <s v="Shipped"/>
    <n v="3"/>
    <n v="90"/>
  </r>
  <r>
    <n v="9"/>
    <s v="Orders2025"/>
    <n v="101"/>
    <s v="Bottle"/>
    <x v="0"/>
    <n v="10"/>
    <n v="2"/>
    <x v="0"/>
    <x v="0"/>
    <d v="1900-01-02T00:00:00"/>
    <d v="2025-03-10T00:00:00"/>
    <d v="2025-03-15T00:00:00"/>
    <n v="5"/>
    <s v="Shipped"/>
    <n v="2"/>
    <n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ABD204-BADE-44AC-8EDF-7AFB20AF98E0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6:B15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axis="axisRow" showAll="0">
      <items count="3">
        <item x="1"/>
        <item x="0"/>
        <item t="default"/>
      </items>
    </pivotField>
    <pivotField numFmtId="14" showAll="0"/>
    <pivotField numFmtId="14" showAll="0"/>
    <pivotField numFmtId="14" showAll="0"/>
    <pivotField showAll="0"/>
    <pivotField showAll="0"/>
    <pivotField showAll="0"/>
    <pivotField dataField="1" showAll="0"/>
  </pivotFields>
  <rowFields count="2">
    <field x="7"/>
    <field x="8"/>
  </rowFields>
  <rowItems count="9">
    <i>
      <x/>
    </i>
    <i r="1">
      <x/>
    </i>
    <i>
      <x v="1"/>
    </i>
    <i r="1">
      <x v="1"/>
    </i>
    <i>
      <x v="2"/>
    </i>
    <i r="1">
      <x/>
    </i>
    <i>
      <x v="3"/>
    </i>
    <i r="1">
      <x v="1"/>
    </i>
    <i t="grand">
      <x/>
    </i>
  </rowItems>
  <colItems count="1">
    <i/>
  </colItems>
  <dataFields count="1">
    <dataField name="Sum of Revenue " fld="15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A297DA-3713-4B5A-8016-99CAD9499E45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C4" firstHeaderRow="0" firstDataRow="1" firstDataCol="1"/>
  <pivotFields count="16"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numFmtId="14" showAll="0"/>
    <pivotField numFmtId="14" showAll="0"/>
    <pivotField numFmtId="14" showAll="0"/>
    <pivotField showAll="0"/>
    <pivotField showAll="0"/>
    <pivotField dataField="1" showAll="0"/>
    <pivotField dataField="1" showAll="0"/>
  </pivotFields>
  <rowFields count="1">
    <field x="4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 " fld="15" baseField="0" baseItem="0" numFmtId="164"/>
    <dataField name="Sum of Quantity " fld="1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A01CA8-F875-403D-9860-8E84177D9658}" name="Table1" displayName="Table1" ref="A1:P20" totalsRowCount="1">
  <autoFilter ref="A1:P19" xr:uid="{B3A01CA8-F875-403D-9860-8E84177D9658}"/>
  <tableColumns count="16">
    <tableColumn id="1" xr3:uid="{7DA79353-9F3C-4D49-82BF-2453EF382AA8}" name="Order ID "/>
    <tableColumn id="2" xr3:uid="{4525A5DF-1C42-41BC-8F2A-D0B13CA11D1D}" name="Source Data "/>
    <tableColumn id="3" xr3:uid="{3C5AD24C-C9D4-4DC2-B7B9-4EAC31BD4F82}" name="Product Id "/>
    <tableColumn id="4" xr3:uid="{EEEDC068-57BF-475B-B502-0E5769A1E49D}" name="Product"/>
    <tableColumn id="5" xr3:uid="{51499760-1123-4282-A205-A31CC1B52F60}" name="Category "/>
    <tableColumn id="6" xr3:uid="{3B253DB6-565B-44CC-A92D-768851C8CFEF}" name="Price "/>
    <tableColumn id="7" xr3:uid="{2228B990-1AA1-4F2B-9D9B-528A0BC1BDF6}" name="Customer ID "/>
    <tableColumn id="8" xr3:uid="{78B438CC-3E41-4BB1-8FB3-FF52FC7A8BB2}" name="Customer Name "/>
    <tableColumn id="9" xr3:uid="{8871C53A-A6B8-4C86-89E2-7773694F4F22}" name="Country "/>
    <tableColumn id="10" xr3:uid="{3124C96A-3799-49FF-849D-8877687C8917}" name="Sales Person ID" dataDxfId="5" totalsRowDxfId="2"/>
    <tableColumn id="11" xr3:uid="{5000D90B-8A70-4913-BD0A-125C37C99086}" name="Order Date " dataDxfId="4" totalsRowDxfId="1"/>
    <tableColumn id="12" xr3:uid="{9D5E426F-CB82-4A4B-97DB-15890B00CCA6}" name="Ship Date " dataDxfId="3" totalsRowDxfId="0"/>
    <tableColumn id="13" xr3:uid="{A56421F2-5A73-4B56-8B17-3C0CD52BE0EB}" name="Delivery Days "/>
    <tableColumn id="14" xr3:uid="{A7FE1A7B-B35F-425B-90A3-3726FBCE521A}" name="Order Status "/>
    <tableColumn id="15" xr3:uid="{AF24D728-BC34-4B8D-907E-199D1A295F98}" name="Quantity " totalsRowFunction="sum"/>
    <tableColumn id="16" xr3:uid="{082A49B8-1332-4053-80B8-84F897798099}" name="Revenue " totalsRowFunction="custom">
      <totalsRowFormula>SUM(Table1[[Revenue ]])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63B19-F896-43FD-A17D-23FFBB3B080A}">
  <dimension ref="A1:C15"/>
  <sheetViews>
    <sheetView tabSelected="1" zoomScale="76" workbookViewId="0">
      <selection activeCell="O28" sqref="O28"/>
    </sheetView>
  </sheetViews>
  <sheetFormatPr defaultRowHeight="14.4" x14ac:dyDescent="0.3"/>
  <cols>
    <col min="1" max="1" width="16.21875" bestFit="1" customWidth="1"/>
    <col min="2" max="3" width="15.33203125" bestFit="1" customWidth="1"/>
    <col min="10" max="10" width="16.21875" bestFit="1" customWidth="1"/>
    <col min="11" max="11" width="15.33203125" bestFit="1" customWidth="1"/>
  </cols>
  <sheetData>
    <row r="1" spans="1:3" x14ac:dyDescent="0.3">
      <c r="A1" s="2" t="s">
        <v>22</v>
      </c>
      <c r="B1" t="s">
        <v>24</v>
      </c>
      <c r="C1" t="s">
        <v>35</v>
      </c>
    </row>
    <row r="2" spans="1:3" x14ac:dyDescent="0.3">
      <c r="A2" s="3" t="s">
        <v>1</v>
      </c>
      <c r="B2" s="6">
        <v>280</v>
      </c>
      <c r="C2" s="5">
        <v>16</v>
      </c>
    </row>
    <row r="3" spans="1:3" x14ac:dyDescent="0.3">
      <c r="A3" s="3" t="s">
        <v>12</v>
      </c>
      <c r="B3" s="6">
        <v>380</v>
      </c>
      <c r="C3" s="5">
        <v>14</v>
      </c>
    </row>
    <row r="4" spans="1:3" x14ac:dyDescent="0.3">
      <c r="A4" s="3" t="s">
        <v>23</v>
      </c>
      <c r="B4" s="6">
        <v>660</v>
      </c>
      <c r="C4" s="5">
        <v>30</v>
      </c>
    </row>
    <row r="6" spans="1:3" x14ac:dyDescent="0.3">
      <c r="A6" s="2" t="s">
        <v>22</v>
      </c>
      <c r="B6" t="s">
        <v>24</v>
      </c>
    </row>
    <row r="7" spans="1:3" x14ac:dyDescent="0.3">
      <c r="A7" s="3" t="s">
        <v>9</v>
      </c>
      <c r="B7" s="6">
        <v>250</v>
      </c>
    </row>
    <row r="8" spans="1:3" x14ac:dyDescent="0.3">
      <c r="A8" s="4" t="s">
        <v>7</v>
      </c>
      <c r="B8" s="6">
        <v>250</v>
      </c>
    </row>
    <row r="9" spans="1:3" x14ac:dyDescent="0.3">
      <c r="A9" s="3" t="s">
        <v>2</v>
      </c>
      <c r="B9" s="6">
        <v>90</v>
      </c>
    </row>
    <row r="10" spans="1:3" x14ac:dyDescent="0.3">
      <c r="A10" s="4" t="s">
        <v>3</v>
      </c>
      <c r="B10" s="6">
        <v>90</v>
      </c>
    </row>
    <row r="11" spans="1:3" x14ac:dyDescent="0.3">
      <c r="A11" s="3" t="s">
        <v>6</v>
      </c>
      <c r="B11" s="6">
        <v>90</v>
      </c>
    </row>
    <row r="12" spans="1:3" x14ac:dyDescent="0.3">
      <c r="A12" s="4" t="s">
        <v>7</v>
      </c>
      <c r="B12" s="6">
        <v>90</v>
      </c>
    </row>
    <row r="13" spans="1:3" x14ac:dyDescent="0.3">
      <c r="A13" s="3" t="s">
        <v>13</v>
      </c>
      <c r="B13" s="6">
        <v>230</v>
      </c>
    </row>
    <row r="14" spans="1:3" x14ac:dyDescent="0.3">
      <c r="A14" s="4" t="s">
        <v>3</v>
      </c>
      <c r="B14" s="6">
        <v>230</v>
      </c>
    </row>
    <row r="15" spans="1:3" x14ac:dyDescent="0.3">
      <c r="A15" s="3" t="s">
        <v>23</v>
      </c>
      <c r="B15" s="6">
        <v>660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A195D-8557-4530-80E5-5474468DAFD2}">
  <dimension ref="A1:P20"/>
  <sheetViews>
    <sheetView workbookViewId="0">
      <selection activeCell="B7" sqref="B7"/>
    </sheetView>
  </sheetViews>
  <sheetFormatPr defaultRowHeight="14.4" x14ac:dyDescent="0.3"/>
  <cols>
    <col min="1" max="1" width="10.33203125" customWidth="1"/>
    <col min="2" max="2" width="13.44140625" customWidth="1"/>
    <col min="3" max="3" width="12.109375" customWidth="1"/>
    <col min="4" max="5" width="10.88671875" customWidth="1"/>
    <col min="6" max="6" width="13.6640625" customWidth="1"/>
    <col min="7" max="7" width="17.33203125" customWidth="1"/>
    <col min="8" max="8" width="16.88671875" customWidth="1"/>
    <col min="9" max="9" width="15.109375" customWidth="1"/>
    <col min="10" max="10" width="15.5546875" customWidth="1"/>
    <col min="11" max="11" width="12.44140625" customWidth="1"/>
    <col min="12" max="12" width="14.44140625" customWidth="1"/>
    <col min="13" max="13" width="14.5546875" customWidth="1"/>
    <col min="14" max="14" width="13.77734375" customWidth="1"/>
    <col min="15" max="15" width="12.5546875" customWidth="1"/>
    <col min="16" max="16" width="16.5546875" bestFit="1" customWidth="1"/>
  </cols>
  <sheetData>
    <row r="1" spans="1:16" x14ac:dyDescent="0.3">
      <c r="A1" t="s">
        <v>25</v>
      </c>
      <c r="B1" t="s">
        <v>26</v>
      </c>
      <c r="C1" t="s">
        <v>27</v>
      </c>
      <c r="D1" t="s">
        <v>16</v>
      </c>
      <c r="E1" t="s">
        <v>17</v>
      </c>
      <c r="F1" t="s">
        <v>28</v>
      </c>
      <c r="G1" t="s">
        <v>18</v>
      </c>
      <c r="H1" t="s">
        <v>29</v>
      </c>
      <c r="I1" t="s">
        <v>19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20</v>
      </c>
      <c r="P1" t="s">
        <v>21</v>
      </c>
    </row>
    <row r="2" spans="1:16" x14ac:dyDescent="0.3">
      <c r="A2">
        <v>1</v>
      </c>
      <c r="B2" t="s">
        <v>15</v>
      </c>
      <c r="C2">
        <v>101</v>
      </c>
      <c r="D2" t="s">
        <v>0</v>
      </c>
      <c r="E2" t="s">
        <v>1</v>
      </c>
      <c r="F2">
        <v>10</v>
      </c>
      <c r="G2">
        <v>2</v>
      </c>
      <c r="H2" t="s">
        <v>2</v>
      </c>
      <c r="I2" t="s">
        <v>3</v>
      </c>
      <c r="J2" s="1">
        <v>3</v>
      </c>
      <c r="K2" s="1">
        <v>45383</v>
      </c>
      <c r="L2" s="1">
        <v>45387</v>
      </c>
      <c r="M2">
        <v>4</v>
      </c>
      <c r="N2" t="s">
        <v>4</v>
      </c>
      <c r="O2">
        <v>1</v>
      </c>
      <c r="P2">
        <v>10</v>
      </c>
    </row>
    <row r="3" spans="1:16" x14ac:dyDescent="0.3">
      <c r="A3">
        <v>2</v>
      </c>
      <c r="B3" t="s">
        <v>15</v>
      </c>
      <c r="C3">
        <v>102</v>
      </c>
      <c r="D3" t="s">
        <v>8</v>
      </c>
      <c r="E3" t="s">
        <v>1</v>
      </c>
      <c r="F3">
        <v>15</v>
      </c>
      <c r="G3">
        <v>3</v>
      </c>
      <c r="H3" t="s">
        <v>13</v>
      </c>
      <c r="I3" t="s">
        <v>3</v>
      </c>
      <c r="J3" s="1">
        <v>3</v>
      </c>
      <c r="K3" s="1">
        <v>45387</v>
      </c>
      <c r="L3" s="1">
        <v>45392</v>
      </c>
      <c r="M3">
        <v>5</v>
      </c>
      <c r="N3" t="s">
        <v>4</v>
      </c>
      <c r="O3">
        <v>1</v>
      </c>
      <c r="P3">
        <v>15</v>
      </c>
    </row>
    <row r="4" spans="1:16" x14ac:dyDescent="0.3">
      <c r="A4">
        <v>3</v>
      </c>
      <c r="B4" t="s">
        <v>15</v>
      </c>
      <c r="C4">
        <v>101</v>
      </c>
      <c r="D4" t="s">
        <v>0</v>
      </c>
      <c r="E4" t="s">
        <v>1</v>
      </c>
      <c r="F4">
        <v>10</v>
      </c>
      <c r="G4">
        <v>1</v>
      </c>
      <c r="H4" t="s">
        <v>9</v>
      </c>
      <c r="I4" t="s">
        <v>7</v>
      </c>
      <c r="J4" s="1">
        <v>4</v>
      </c>
      <c r="K4" s="1">
        <v>45392</v>
      </c>
      <c r="L4" s="1">
        <v>45407</v>
      </c>
      <c r="M4">
        <v>15</v>
      </c>
      <c r="N4" t="s">
        <v>4</v>
      </c>
      <c r="O4">
        <v>2</v>
      </c>
      <c r="P4">
        <v>20</v>
      </c>
    </row>
    <row r="5" spans="1:16" x14ac:dyDescent="0.3">
      <c r="A5">
        <v>4</v>
      </c>
      <c r="B5" t="s">
        <v>15</v>
      </c>
      <c r="C5">
        <v>105</v>
      </c>
      <c r="D5" t="s">
        <v>14</v>
      </c>
      <c r="E5" t="s">
        <v>12</v>
      </c>
      <c r="F5">
        <v>30</v>
      </c>
      <c r="G5">
        <v>1</v>
      </c>
      <c r="H5" t="s">
        <v>9</v>
      </c>
      <c r="I5" t="s">
        <v>7</v>
      </c>
      <c r="J5" s="1">
        <v>3</v>
      </c>
      <c r="K5" s="1">
        <v>45402</v>
      </c>
      <c r="L5" s="1">
        <v>45407</v>
      </c>
      <c r="M5">
        <v>5</v>
      </c>
      <c r="N5" t="s">
        <v>4</v>
      </c>
      <c r="O5">
        <v>2</v>
      </c>
      <c r="P5">
        <v>60</v>
      </c>
    </row>
    <row r="6" spans="1:16" x14ac:dyDescent="0.3">
      <c r="A6">
        <v>4</v>
      </c>
      <c r="B6" t="s">
        <v>15</v>
      </c>
      <c r="C6">
        <v>105</v>
      </c>
      <c r="D6" t="s">
        <v>14</v>
      </c>
      <c r="E6" t="s">
        <v>12</v>
      </c>
      <c r="F6">
        <v>30</v>
      </c>
      <c r="G6">
        <v>1</v>
      </c>
      <c r="H6" t="s">
        <v>9</v>
      </c>
      <c r="I6" t="s">
        <v>7</v>
      </c>
      <c r="J6" s="1">
        <v>3</v>
      </c>
      <c r="K6" s="1">
        <v>45402</v>
      </c>
      <c r="L6" s="1">
        <v>45407</v>
      </c>
      <c r="M6">
        <v>5</v>
      </c>
      <c r="N6" t="s">
        <v>10</v>
      </c>
      <c r="O6">
        <v>2</v>
      </c>
      <c r="P6">
        <v>60</v>
      </c>
    </row>
    <row r="7" spans="1:16" x14ac:dyDescent="0.3">
      <c r="A7">
        <v>5</v>
      </c>
      <c r="B7" t="s">
        <v>15</v>
      </c>
      <c r="C7">
        <v>104</v>
      </c>
      <c r="D7" t="s">
        <v>11</v>
      </c>
      <c r="E7" t="s">
        <v>12</v>
      </c>
      <c r="F7">
        <v>25</v>
      </c>
      <c r="G7">
        <v>2</v>
      </c>
      <c r="H7" t="s">
        <v>2</v>
      </c>
      <c r="I7" t="s">
        <v>3</v>
      </c>
      <c r="J7" s="1">
        <v>5</v>
      </c>
      <c r="K7" s="1">
        <v>45413</v>
      </c>
      <c r="L7" s="1">
        <v>45417</v>
      </c>
      <c r="M7">
        <v>4</v>
      </c>
      <c r="N7" t="s">
        <v>4</v>
      </c>
      <c r="O7">
        <v>1</v>
      </c>
      <c r="P7">
        <v>25</v>
      </c>
    </row>
    <row r="8" spans="1:16" x14ac:dyDescent="0.3">
      <c r="A8">
        <v>6</v>
      </c>
      <c r="B8" t="s">
        <v>15</v>
      </c>
      <c r="C8">
        <v>104</v>
      </c>
      <c r="D8" t="s">
        <v>11</v>
      </c>
      <c r="E8" t="s">
        <v>12</v>
      </c>
      <c r="F8">
        <v>25</v>
      </c>
      <c r="G8">
        <v>3</v>
      </c>
      <c r="H8" t="s">
        <v>13</v>
      </c>
      <c r="I8" t="s">
        <v>3</v>
      </c>
      <c r="J8" s="1">
        <v>5</v>
      </c>
      <c r="K8" s="1">
        <v>45417</v>
      </c>
      <c r="L8" s="1">
        <v>45422</v>
      </c>
      <c r="M8">
        <v>5</v>
      </c>
      <c r="N8" t="s">
        <v>10</v>
      </c>
      <c r="O8">
        <v>2</v>
      </c>
      <c r="P8">
        <v>50</v>
      </c>
    </row>
    <row r="9" spans="1:16" x14ac:dyDescent="0.3">
      <c r="A9">
        <v>6</v>
      </c>
      <c r="B9" t="s">
        <v>15</v>
      </c>
      <c r="C9">
        <v>104</v>
      </c>
      <c r="D9" t="s">
        <v>11</v>
      </c>
      <c r="E9" t="s">
        <v>12</v>
      </c>
      <c r="F9">
        <v>25</v>
      </c>
      <c r="G9">
        <v>3</v>
      </c>
      <c r="H9" t="s">
        <v>13</v>
      </c>
      <c r="I9" t="s">
        <v>3</v>
      </c>
      <c r="J9" s="1">
        <v>5</v>
      </c>
      <c r="K9" s="1">
        <v>45417</v>
      </c>
      <c r="L9" s="1">
        <v>45422</v>
      </c>
      <c r="M9">
        <v>5</v>
      </c>
      <c r="N9" t="s">
        <v>10</v>
      </c>
      <c r="O9">
        <v>2</v>
      </c>
      <c r="P9">
        <v>50</v>
      </c>
    </row>
    <row r="10" spans="1:16" x14ac:dyDescent="0.3">
      <c r="A10">
        <v>6</v>
      </c>
      <c r="B10" t="s">
        <v>15</v>
      </c>
      <c r="C10">
        <v>101</v>
      </c>
      <c r="D10" t="s">
        <v>0</v>
      </c>
      <c r="E10" t="s">
        <v>1</v>
      </c>
      <c r="F10">
        <v>10</v>
      </c>
      <c r="G10">
        <v>3</v>
      </c>
      <c r="H10" t="s">
        <v>13</v>
      </c>
      <c r="I10" t="s">
        <v>3</v>
      </c>
      <c r="J10" s="1">
        <v>5</v>
      </c>
      <c r="K10" s="1">
        <v>45417</v>
      </c>
      <c r="L10" s="1">
        <v>45422</v>
      </c>
      <c r="M10">
        <v>5</v>
      </c>
      <c r="N10" t="s">
        <v>10</v>
      </c>
      <c r="O10">
        <v>2</v>
      </c>
      <c r="P10">
        <v>50</v>
      </c>
    </row>
    <row r="11" spans="1:16" x14ac:dyDescent="0.3">
      <c r="A11">
        <v>1</v>
      </c>
      <c r="B11" t="s">
        <v>5</v>
      </c>
      <c r="C11">
        <v>101</v>
      </c>
      <c r="D11" t="s">
        <v>0</v>
      </c>
      <c r="E11" t="s">
        <v>1</v>
      </c>
      <c r="F11">
        <v>10</v>
      </c>
      <c r="G11">
        <v>2</v>
      </c>
      <c r="H11" t="s">
        <v>2</v>
      </c>
      <c r="I11" t="s">
        <v>3</v>
      </c>
      <c r="J11" s="1">
        <v>3</v>
      </c>
      <c r="K11" s="1">
        <v>45658</v>
      </c>
      <c r="L11" s="1">
        <v>45662</v>
      </c>
      <c r="M11">
        <v>4</v>
      </c>
      <c r="N11" t="s">
        <v>10</v>
      </c>
      <c r="O11">
        <v>1</v>
      </c>
      <c r="P11">
        <v>10</v>
      </c>
    </row>
    <row r="12" spans="1:16" x14ac:dyDescent="0.3">
      <c r="A12">
        <v>2</v>
      </c>
      <c r="B12" t="s">
        <v>5</v>
      </c>
      <c r="C12">
        <v>102</v>
      </c>
      <c r="D12" t="s">
        <v>8</v>
      </c>
      <c r="E12" t="s">
        <v>1</v>
      </c>
      <c r="F12">
        <v>15</v>
      </c>
      <c r="G12">
        <v>3</v>
      </c>
      <c r="H12" t="s">
        <v>13</v>
      </c>
      <c r="I12" t="s">
        <v>3</v>
      </c>
      <c r="J12" s="1">
        <v>3</v>
      </c>
      <c r="K12" s="1">
        <v>45662</v>
      </c>
      <c r="L12" s="1">
        <v>45667</v>
      </c>
      <c r="M12">
        <v>5</v>
      </c>
      <c r="N12" t="s">
        <v>4</v>
      </c>
      <c r="P12">
        <v>15</v>
      </c>
    </row>
    <row r="13" spans="1:16" x14ac:dyDescent="0.3">
      <c r="A13">
        <v>3</v>
      </c>
      <c r="B13" t="s">
        <v>5</v>
      </c>
      <c r="C13">
        <v>101</v>
      </c>
      <c r="D13" t="s">
        <v>0</v>
      </c>
      <c r="E13" t="s">
        <v>1</v>
      </c>
      <c r="F13">
        <v>10</v>
      </c>
      <c r="G13">
        <v>1</v>
      </c>
      <c r="H13" t="s">
        <v>9</v>
      </c>
      <c r="I13" t="s">
        <v>7</v>
      </c>
      <c r="J13" s="1">
        <v>5</v>
      </c>
      <c r="K13" s="1">
        <v>45667</v>
      </c>
      <c r="L13" s="1">
        <v>45682</v>
      </c>
      <c r="M13">
        <v>15</v>
      </c>
      <c r="N13" t="s">
        <v>10</v>
      </c>
      <c r="O13">
        <v>2</v>
      </c>
      <c r="P13">
        <v>20</v>
      </c>
    </row>
    <row r="14" spans="1:16" x14ac:dyDescent="0.3">
      <c r="A14">
        <v>4</v>
      </c>
      <c r="B14" t="s">
        <v>5</v>
      </c>
      <c r="C14">
        <v>105</v>
      </c>
      <c r="D14" t="s">
        <v>14</v>
      </c>
      <c r="E14" t="s">
        <v>12</v>
      </c>
      <c r="F14">
        <v>30</v>
      </c>
      <c r="G14">
        <v>1</v>
      </c>
      <c r="H14" t="s">
        <v>9</v>
      </c>
      <c r="I14" t="s">
        <v>7</v>
      </c>
      <c r="J14" s="1">
        <v>3</v>
      </c>
      <c r="K14" s="1">
        <v>45677</v>
      </c>
      <c r="L14" s="1">
        <v>45682</v>
      </c>
      <c r="M14">
        <v>5</v>
      </c>
      <c r="N14" t="s">
        <v>4</v>
      </c>
      <c r="O14">
        <v>2</v>
      </c>
      <c r="P14">
        <v>60</v>
      </c>
    </row>
    <row r="15" spans="1:16" x14ac:dyDescent="0.3">
      <c r="A15">
        <v>5</v>
      </c>
      <c r="B15" t="s">
        <v>5</v>
      </c>
      <c r="C15">
        <v>104</v>
      </c>
      <c r="D15" t="s">
        <v>11</v>
      </c>
      <c r="E15" t="s">
        <v>12</v>
      </c>
      <c r="F15">
        <v>25</v>
      </c>
      <c r="G15">
        <v>2</v>
      </c>
      <c r="H15" t="s">
        <v>2</v>
      </c>
      <c r="I15" t="s">
        <v>3</v>
      </c>
      <c r="J15" s="1">
        <v>5</v>
      </c>
      <c r="K15" s="1">
        <v>45689</v>
      </c>
      <c r="L15" s="1">
        <v>45693</v>
      </c>
      <c r="M15">
        <v>4</v>
      </c>
      <c r="N15" t="s">
        <v>10</v>
      </c>
      <c r="O15">
        <v>1</v>
      </c>
      <c r="P15">
        <v>25</v>
      </c>
    </row>
    <row r="16" spans="1:16" x14ac:dyDescent="0.3">
      <c r="A16">
        <v>6</v>
      </c>
      <c r="B16" t="s">
        <v>5</v>
      </c>
      <c r="C16">
        <v>104</v>
      </c>
      <c r="D16" t="s">
        <v>11</v>
      </c>
      <c r="E16" t="s">
        <v>12</v>
      </c>
      <c r="F16">
        <v>25</v>
      </c>
      <c r="G16">
        <v>3</v>
      </c>
      <c r="H16" t="s">
        <v>13</v>
      </c>
      <c r="I16" t="s">
        <v>3</v>
      </c>
      <c r="J16" s="1">
        <v>5</v>
      </c>
      <c r="K16" s="1">
        <v>45693</v>
      </c>
      <c r="L16" s="1">
        <v>45698</v>
      </c>
      <c r="M16">
        <v>5</v>
      </c>
      <c r="N16" t="s">
        <v>10</v>
      </c>
      <c r="O16">
        <v>2</v>
      </c>
      <c r="P16">
        <v>50</v>
      </c>
    </row>
    <row r="17" spans="1:16" x14ac:dyDescent="0.3">
      <c r="A17">
        <v>7</v>
      </c>
      <c r="B17" t="s">
        <v>5</v>
      </c>
      <c r="C17">
        <v>102</v>
      </c>
      <c r="D17" t="s">
        <v>8</v>
      </c>
      <c r="E17" t="s">
        <v>1</v>
      </c>
      <c r="F17">
        <v>15</v>
      </c>
      <c r="G17">
        <v>1</v>
      </c>
      <c r="H17" t="s">
        <v>9</v>
      </c>
      <c r="I17" t="s">
        <v>7</v>
      </c>
      <c r="J17" s="1">
        <v>1</v>
      </c>
      <c r="K17" s="1">
        <v>45703</v>
      </c>
      <c r="L17" s="1">
        <v>45715</v>
      </c>
      <c r="M17">
        <v>12</v>
      </c>
      <c r="N17" t="s">
        <v>10</v>
      </c>
      <c r="O17">
        <v>2</v>
      </c>
      <c r="P17">
        <v>30</v>
      </c>
    </row>
    <row r="18" spans="1:16" x14ac:dyDescent="0.3">
      <c r="A18">
        <v>8</v>
      </c>
      <c r="B18" t="s">
        <v>5</v>
      </c>
      <c r="C18">
        <v>101</v>
      </c>
      <c r="D18" t="s">
        <v>0</v>
      </c>
      <c r="E18" t="s">
        <v>1</v>
      </c>
      <c r="F18">
        <v>10</v>
      </c>
      <c r="G18">
        <v>4</v>
      </c>
      <c r="H18" t="s">
        <v>6</v>
      </c>
      <c r="I18" t="s">
        <v>7</v>
      </c>
      <c r="J18" s="1">
        <v>3</v>
      </c>
      <c r="K18" s="1">
        <v>45706</v>
      </c>
      <c r="L18" s="1">
        <v>45715</v>
      </c>
      <c r="M18">
        <v>9</v>
      </c>
      <c r="N18" t="s">
        <v>4</v>
      </c>
      <c r="O18">
        <v>3</v>
      </c>
      <c r="P18">
        <v>90</v>
      </c>
    </row>
    <row r="19" spans="1:16" x14ac:dyDescent="0.3">
      <c r="A19">
        <v>9</v>
      </c>
      <c r="B19" t="s">
        <v>5</v>
      </c>
      <c r="C19">
        <v>101</v>
      </c>
      <c r="D19" t="s">
        <v>0</v>
      </c>
      <c r="E19" t="s">
        <v>1</v>
      </c>
      <c r="F19">
        <v>10</v>
      </c>
      <c r="G19">
        <v>2</v>
      </c>
      <c r="H19" t="s">
        <v>2</v>
      </c>
      <c r="I19" t="s">
        <v>3</v>
      </c>
      <c r="J19" s="1">
        <v>3</v>
      </c>
      <c r="K19" s="1">
        <v>45726</v>
      </c>
      <c r="L19" s="1">
        <v>45731</v>
      </c>
      <c r="M19">
        <v>5</v>
      </c>
      <c r="N19" t="s">
        <v>4</v>
      </c>
      <c r="O19">
        <v>2</v>
      </c>
      <c r="P19">
        <v>20</v>
      </c>
    </row>
    <row r="20" spans="1:16" x14ac:dyDescent="0.3">
      <c r="J20" s="1"/>
      <c r="K20" s="1"/>
      <c r="L20" s="1"/>
      <c r="O20">
        <f>SUBTOTAL(109,Table1[[Quantity ]])</f>
        <v>30</v>
      </c>
      <c r="P20">
        <f>SUM(Table1[[Revenue ]])</f>
        <v>660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Sheet7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S</dc:creator>
  <cp:lastModifiedBy>NAVEEN S</cp:lastModifiedBy>
  <dcterms:created xsi:type="dcterms:W3CDTF">2026-09-28T16:19:53Z</dcterms:created>
  <dcterms:modified xsi:type="dcterms:W3CDTF">2026-09-29T05:27:53Z</dcterms:modified>
</cp:coreProperties>
</file>